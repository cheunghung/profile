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6" windowHeight="7752"/>
  </bookViews>
  <sheets>
    <sheet name="Main" sheetId="1" r:id="rId1"/>
    <sheet name="Histogram" sheetId="138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<sst xmlns="http://schemas.openxmlformats.org/spreadsheetml/2006/main" count="30" uniqueCount="25">
  <si>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</si>
  <si>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</si>
  <si>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</si>
  <si>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</si>
  <si>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</si>
  <si>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</si>
  <si>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</si>
  <si>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</si>
  <si>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</si>
  <si>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</si>
  <si>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</si>
  <si>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</si>
  <si>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</si>
  <si>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</si>
  <si>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</si>
  <si>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</si>
  <si>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</si>
  <si>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</si>
  <si>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</si>
  <si>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</si>
  <si>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</si>
  <si>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</si>
  <si>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</si>
  <si>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-5</t>
  </si>
  <si>
    <t>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</si>
</sst>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  <xf numFmtId="2" fontId="0" fillId="2" borderId="2" xfId="0" applyNumberFormat="1" applyFill="1" applyBorder="1" applyAlignment="1">
      <alignment horizontal="right"/>
    </xf>
    <xf numFmtId="0" fontId="0" fillId="2" borderId="4" xfId="0" applyFill="1" applyBorder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'Histogram Data'!$A:$A</c:f>
              <c:numCache>
                <c:formatCode>General</c:formatCode>
                <c:ptCount val="1048576"/>
                <c:pt idx="0">
                  <c:v>-59.5</c:v>
                </c:pt>
                <c:pt idx="1">
                  <c:v>-52.5</c:v>
                </c:pt>
                <c:pt idx="2">
                  <c:v>-45.5</c:v>
                </c:pt>
                <c:pt idx="3">
                  <c:v>-38.5</c:v>
                </c:pt>
                <c:pt idx="4">
                  <c:v>-31.5</c:v>
                </c:pt>
                <c:pt idx="5">
                  <c:v>-24.5</c:v>
                </c:pt>
                <c:pt idx="6">
                  <c:v>-17.5</c:v>
                </c:pt>
                <c:pt idx="7">
                  <c:v>-10.5</c:v>
                </c:pt>
                <c:pt idx="8">
                  <c:v>-3.5</c:v>
                </c:pt>
                <c:pt idx="9">
                  <c:v>3.5</c:v>
                </c:pt>
                <c:pt idx="10">
                  <c:v>10.5</c:v>
                </c:pt>
                <c:pt idx="11">
                  <c:v>17.5</c:v>
                </c:pt>
                <c:pt idx="12">
                  <c:v>24.5</c:v>
                </c:pt>
                <c:pt idx="13">
                  <c:v>31.5</c:v>
                </c:pt>
                <c:pt idx="14">
                  <c:v>38.5</c:v>
                </c:pt>
                <c:pt idx="15">
                  <c:v>45.5</c:v>
                </c:pt>
                <c:pt idx="16">
                  <c:v>52.5</c:v>
                </c:pt>
                <c:pt idx="17">
                  <c:v>59.5</c:v>
                </c:pt>
                <c:pt idx="18">
                  <c:v>66.5</c:v>
                </c:pt>
                <c:pt idx="19">
                  <c:v>73.5</c:v>
                </c:pt>
                <c:pt idx="20">
                  <c:v>80.5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6</c:v>
                </c:pt>
                <c:pt idx="1">
                  <c:v>14</c:v>
                </c:pt>
                <c:pt idx="2">
                  <c:v>31</c:v>
                </c:pt>
                <c:pt idx="3">
                  <c:v>48</c:v>
                </c:pt>
                <c:pt idx="4">
                  <c:v>84</c:v>
                </c:pt>
                <c:pt idx="5">
                  <c:v>106</c:v>
                </c:pt>
                <c:pt idx="6">
                  <c:v>105</c:v>
                </c:pt>
                <c:pt idx="7">
                  <c:v>105</c:v>
                </c:pt>
                <c:pt idx="8">
                  <c:v>101</c:v>
                </c:pt>
                <c:pt idx="9">
                  <c:v>90</c:v>
                </c:pt>
                <c:pt idx="10">
                  <c:v>86</c:v>
                </c:pt>
                <c:pt idx="11">
                  <c:v>76</c:v>
                </c:pt>
                <c:pt idx="12">
                  <c:v>60</c:v>
                </c:pt>
                <c:pt idx="13">
                  <c:v>28</c:v>
                </c:pt>
                <c:pt idx="14">
                  <c:v>28</c:v>
                </c:pt>
                <c:pt idx="15">
                  <c:v>17</c:v>
                </c:pt>
                <c:pt idx="16">
                  <c:v>7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779520"/>
        <c:axId val="145124352"/>
      </c:barChart>
      <c:catAx>
        <c:axId val="14477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 Center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5124352"/>
        <c:crosses val="autoZero"/>
        <c:auto val="1"/>
        <c:lblAlgn val="ctr"/>
        <c:lblOffset val="100"/>
        <c:noMultiLvlLbl val="0"/>
      </c:catAx>
      <c:valAx>
        <c:axId val="14512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779520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1"/>
  <sheetViews>
    <sheetView zoomScale="11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899160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053" cy="628315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tabSelected="1" zoomScaleNormal="100" workbookViewId="0"/>
  </sheetViews>
  <sheetFormatPr defaultRowHeight="14.4" x14ac:dyDescent="0.3"/>
  <cols>
    <col min="1" max="1" width="19.109375" bestFit="1" customWidth="1"/>
    <col min="2" max="2" width="11.88671875" bestFit="1" customWidth="1"/>
    <col min="3" max="3" width="13.109375" customWidth="1"/>
    <col min="4" max="4" width="9.88671875" bestFit="1" customWidth="1"/>
    <col min="5" max="5" width="10.44140625" bestFit="1" customWidth="1"/>
    <col min="6" max="6" width="10.6640625" customWidth="1"/>
    <col min="7" max="7" width="11.88671875" bestFit="1" customWidth="1"/>
    <col min="8" max="8" width="11" customWidth="1"/>
    <col min="9" max="10" width="9.109375" bestFit="1" customWidth="1"/>
  </cols>
  <sheetData>
    <row r="1" spans="1:16" ht="15" x14ac:dyDescent="0.25">
      <c r="A1" t="s">
        <v>0</v>
      </c>
    </row>
    <row r="2" spans="1:16" ht="15.75" thickBot="1" x14ac:dyDescent="0.3"/>
    <row r="3" spans="1:16" ht="15" x14ac:dyDescent="0.25">
      <c r="A3" t="s">
        <v>1</v>
      </c>
      <c r="B3" s="15" t="s">
        <v>23</v>
      </c>
      <c r="D3" t="s">
        <v>2</v>
      </c>
      <c r="E3" s="14">
        <v>43.538192215558126</v>
      </c>
      <c r="G3" t="s">
        <v>3</v>
      </c>
      <c r="H3" s="5">
        <v>-8.0601290166904924</v>
      </c>
    </row>
    <row r="4" spans="1:16" ht="15.75" thickBot="1" x14ac:dyDescent="0.3">
      <c r="A4" t="s">
        <v>4</v>
      </c>
      <c r="B4" s="6">
        <v>-14.844462686368614</v>
      </c>
      <c r="D4" t="s">
        <v>5</v>
      </c>
      <c r="E4" s="16" t="s">
        <v>24</v>
      </c>
      <c r="G4" t="s">
        <v>6</v>
      </c>
      <c r="H4" s="7">
        <v>0.14797289967536925</v>
      </c>
    </row>
    <row r="5" spans="1:16" ht="15" x14ac:dyDescent="0.25">
      <c r="A5" t="s">
        <v>7</v>
      </c>
      <c r="B5" s="8">
        <v>-76.753945513586075</v>
      </c>
      <c r="H5" s="9"/>
    </row>
    <row r="6" spans="1:16" ht="15" x14ac:dyDescent="0.25">
      <c r="A6" t="s">
        <v>8</v>
      </c>
      <c r="B6" s="8">
        <v>-21.773705840110779</v>
      </c>
      <c r="E6" t="s">
        <v>9</v>
      </c>
      <c r="H6" s="9"/>
    </row>
    <row r="7" spans="1:16" ht="15.75" thickBot="1" x14ac:dyDescent="0.3">
      <c r="A7" t="s">
        <v>10</v>
      </c>
      <c r="B7" s="13">
        <v>-19.872266020429933</v>
      </c>
      <c r="E7" t="s">
        <v>11</v>
      </c>
      <c r="H7" s="9"/>
    </row>
    <row r="8" spans="1:16" ht="15" x14ac:dyDescent="0.25">
      <c r="M8" t="s">
        <v>12</v>
      </c>
    </row>
    <row r="9" spans="1:16" ht="15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ht="15" x14ac:dyDescent="0.25">
      <c r="A10">
        <v>1</v>
      </c>
      <c r="B10" s="10">
        <f>0.5*CTDC</f>
        <v>-38.376972756793037</v>
      </c>
      <c r="C10" s="10"/>
      <c r="D10" s="10" t="str">
        <f>Cland</f>
        <v>-5</v>
      </c>
      <c r="E10" s="10"/>
      <c r="F10" s="10"/>
      <c r="G10" s="10"/>
      <c r="H10" s="10"/>
      <c r="I10" s="10"/>
      <c r="J10" s="10"/>
      <c r="L10">
        <f>B10+D10</f>
        <v>-43.376972756793037</v>
      </c>
      <c r="M10" s="10">
        <f t="shared" ref="M10:M24" si="0">L10/(1+i)^(A10-1)</f>
        <v>-43.376972756793037</v>
      </c>
      <c r="N10" s="10">
        <f>M10</f>
        <v>-43.376972756793037</v>
      </c>
    </row>
    <row r="11" spans="1:16" ht="15" x14ac:dyDescent="0.25">
      <c r="A11">
        <v>2</v>
      </c>
      <c r="B11" s="10">
        <f>0.5*CTDC</f>
        <v>-38.376972756793037</v>
      </c>
      <c r="C11" s="10">
        <f>WC</f>
        <v>-21.773705840110779</v>
      </c>
      <c r="D11" s="10"/>
      <c r="E11" s="10"/>
      <c r="F11" s="10">
        <f>Cstart</f>
        <v>-19.872266020429933</v>
      </c>
      <c r="G11" s="10"/>
      <c r="H11" s="10"/>
      <c r="I11" s="10"/>
      <c r="J11" s="10"/>
      <c r="L11">
        <f>B11+C11+F11</f>
        <v>-80.022944617333749</v>
      </c>
      <c r="M11" s="10">
        <f t="shared" si="0"/>
        <v>-69.708043317018308</v>
      </c>
      <c r="N11" s="10">
        <f>N10+M11</f>
        <v>-113.08501607381135</v>
      </c>
    </row>
    <row r="12" spans="1:16" ht="15" x14ac:dyDescent="0.25">
      <c r="A12">
        <v>3</v>
      </c>
      <c r="B12" s="10"/>
      <c r="C12" s="10"/>
      <c r="D12" s="10"/>
      <c r="E12" s="10">
        <f t="shared" ref="E12:E24" si="1">Croyal</f>
        <v>-14.844462686368614</v>
      </c>
      <c r="F12" s="10"/>
      <c r="G12" s="10"/>
      <c r="H12" s="10">
        <f>P12*-CTDC</f>
        <v>10.96813881389145</v>
      </c>
      <c r="I12" s="10">
        <f>0.5*S</f>
        <v>21.769096107779063</v>
      </c>
      <c r="J12" s="10">
        <f>0.5*COS</f>
        <v>-4.0300645083452462</v>
      </c>
      <c r="K12" s="10">
        <f>(1-tax)*(I12-J12-H12)</f>
        <v>9.6401641714513602</v>
      </c>
      <c r="L12" s="10">
        <f t="shared" ref="L12:L23" si="2">K12+H12+E12</f>
        <v>5.7638402989741966</v>
      </c>
      <c r="M12" s="10">
        <f t="shared" si="0"/>
        <v>4.3736967468279024</v>
      </c>
      <c r="N12" s="10">
        <f t="shared" ref="N12:N23" si="3">N11+M12</f>
        <v>-108.71131932698344</v>
      </c>
      <c r="P12" s="11">
        <v>0.1429</v>
      </c>
    </row>
    <row r="13" spans="1:16" ht="15" x14ac:dyDescent="0.25">
      <c r="A13">
        <v>4</v>
      </c>
      <c r="B13" s="10"/>
      <c r="C13" s="10"/>
      <c r="D13" s="10"/>
      <c r="E13" s="10">
        <f t="shared" si="1"/>
        <v>-14.844462686368614</v>
      </c>
      <c r="F13" s="10"/>
      <c r="G13" s="10"/>
      <c r="H13" s="10">
        <f t="shared" ref="H13:H19" si="4">P13*-CTDC</f>
        <v>18.797041256277229</v>
      </c>
      <c r="I13" s="10">
        <f>0.8*S</f>
        <v>34.8305537724465</v>
      </c>
      <c r="J13" s="10">
        <f>0.8*COS</f>
        <v>-6.4481032133523941</v>
      </c>
      <c r="K13" s="10">
        <f t="shared" ref="K13:K24" si="5">(1-tax)*(I13-J13-H13)</f>
        <v>14.613050224189085</v>
      </c>
      <c r="L13" s="10">
        <f t="shared" si="2"/>
        <v>18.565628794097698</v>
      </c>
      <c r="M13" s="10">
        <f t="shared" si="0"/>
        <v>12.27198329911948</v>
      </c>
      <c r="N13" s="10">
        <f t="shared" si="3"/>
        <v>-96.439336027863959</v>
      </c>
      <c r="P13" s="11">
        <v>0.24490000000000001</v>
      </c>
    </row>
    <row r="14" spans="1:16" ht="15" x14ac:dyDescent="0.25">
      <c r="A14">
        <v>5</v>
      </c>
      <c r="B14" s="10"/>
      <c r="C14" s="10"/>
      <c r="D14" s="10"/>
      <c r="E14" s="10">
        <f t="shared" si="1"/>
        <v>-14.844462686368614</v>
      </c>
      <c r="F14" s="10"/>
      <c r="G14" s="10"/>
      <c r="H14" s="10">
        <f t="shared" si="4"/>
        <v>13.424265070326204</v>
      </c>
      <c r="I14" s="10">
        <f t="shared" ref="I14:I24" si="6">S</f>
        <v>43.538192215558126</v>
      </c>
      <c r="J14" s="10">
        <f t="shared" ref="J14:J24" si="7">COS</f>
        <v>-8.0601290166904924</v>
      </c>
      <c r="K14" s="10">
        <f t="shared" si="5"/>
        <v>24.813136505249574</v>
      </c>
      <c r="L14" s="10">
        <f t="shared" si="2"/>
        <v>23.392938889207159</v>
      </c>
      <c r="M14" s="10">
        <f t="shared" si="0"/>
        <v>13.46970993038309</v>
      </c>
      <c r="N14" s="10">
        <f t="shared" si="3"/>
        <v>-82.969626097480869</v>
      </c>
      <c r="P14" s="11">
        <v>0.1749</v>
      </c>
    </row>
    <row r="15" spans="1:16" ht="15" x14ac:dyDescent="0.25">
      <c r="A15">
        <v>6</v>
      </c>
      <c r="B15" s="10"/>
      <c r="C15" s="10"/>
      <c r="D15" s="10"/>
      <c r="E15" s="10">
        <f t="shared" si="1"/>
        <v>-14.844462686368614</v>
      </c>
      <c r="F15" s="10"/>
      <c r="G15" s="10"/>
      <c r="H15" s="10">
        <f t="shared" si="4"/>
        <v>9.5865677946468999</v>
      </c>
      <c r="I15" s="10">
        <f t="shared" si="6"/>
        <v>43.538192215558126</v>
      </c>
      <c r="J15" s="10">
        <f t="shared" si="7"/>
        <v>-8.0601290166904924</v>
      </c>
      <c r="K15" s="10">
        <f t="shared" si="5"/>
        <v>27.307639734441121</v>
      </c>
      <c r="L15" s="10">
        <f t="shared" si="2"/>
        <v>22.049744842719406</v>
      </c>
      <c r="M15" s="10">
        <f t="shared" si="0"/>
        <v>11.059752022671786</v>
      </c>
      <c r="N15" s="10">
        <f t="shared" si="3"/>
        <v>-71.909874074809082</v>
      </c>
      <c r="P15" s="11">
        <v>0.1249</v>
      </c>
    </row>
    <row r="16" spans="1:16" ht="15" x14ac:dyDescent="0.25">
      <c r="A16">
        <v>7</v>
      </c>
      <c r="B16" s="10"/>
      <c r="C16" s="10"/>
      <c r="D16" s="10"/>
      <c r="E16" s="10">
        <f t="shared" si="1"/>
        <v>-14.844462686368614</v>
      </c>
      <c r="F16" s="10"/>
      <c r="G16" s="10"/>
      <c r="H16" s="10">
        <f t="shared" si="4"/>
        <v>6.8541273343632367</v>
      </c>
      <c r="I16" s="10">
        <f t="shared" si="6"/>
        <v>43.538192215558126</v>
      </c>
      <c r="J16" s="10">
        <f t="shared" si="7"/>
        <v>-8.0601290166904924</v>
      </c>
      <c r="K16" s="10">
        <f t="shared" si="5"/>
        <v>29.083726033625503</v>
      </c>
      <c r="L16" s="10">
        <f t="shared" si="2"/>
        <v>21.093390681620122</v>
      </c>
      <c r="M16" s="10">
        <f t="shared" si="0"/>
        <v>9.2162995546938014</v>
      </c>
      <c r="N16" s="10">
        <f t="shared" si="3"/>
        <v>-62.693574520115277</v>
      </c>
      <c r="P16" s="11">
        <v>8.9300000000000004E-2</v>
      </c>
    </row>
    <row r="17" spans="1:16" ht="15" x14ac:dyDescent="0.25">
      <c r="A17">
        <v>8</v>
      </c>
      <c r="B17" s="10"/>
      <c r="C17" s="10"/>
      <c r="D17" s="10"/>
      <c r="E17" s="10">
        <f t="shared" si="1"/>
        <v>-14.844462686368614</v>
      </c>
      <c r="F17" s="10"/>
      <c r="G17" s="10"/>
      <c r="H17" s="10">
        <f t="shared" si="4"/>
        <v>6.8464519398118782</v>
      </c>
      <c r="I17" s="10">
        <f t="shared" si="6"/>
        <v>43.538192215558126</v>
      </c>
      <c r="J17" s="10">
        <f t="shared" si="7"/>
        <v>-8.0601290166904924</v>
      </c>
      <c r="K17" s="10">
        <f t="shared" si="5"/>
        <v>29.088715040083883</v>
      </c>
      <c r="L17" s="10">
        <f t="shared" si="2"/>
        <v>21.090704293527146</v>
      </c>
      <c r="M17" s="10">
        <f t="shared" si="0"/>
        <v>8.0273025593972775</v>
      </c>
      <c r="N17" s="10">
        <f t="shared" si="3"/>
        <v>-54.666271960717999</v>
      </c>
      <c r="P17" s="11">
        <v>8.9200000000000002E-2</v>
      </c>
    </row>
    <row r="18" spans="1:16" ht="15" x14ac:dyDescent="0.25">
      <c r="A18">
        <v>9</v>
      </c>
      <c r="B18" s="10"/>
      <c r="C18" s="10"/>
      <c r="D18" s="10"/>
      <c r="E18" s="10">
        <f t="shared" si="1"/>
        <v>-14.844462686368614</v>
      </c>
      <c r="F18" s="10"/>
      <c r="G18" s="10"/>
      <c r="H18" s="10">
        <f t="shared" si="4"/>
        <v>6.8541273343632367</v>
      </c>
      <c r="I18" s="10">
        <f t="shared" si="6"/>
        <v>43.538192215558126</v>
      </c>
      <c r="J18" s="10">
        <f t="shared" si="7"/>
        <v>-8.0601290166904924</v>
      </c>
      <c r="K18" s="10">
        <f t="shared" si="5"/>
        <v>29.083726033625503</v>
      </c>
      <c r="L18" s="10">
        <f t="shared" si="2"/>
        <v>21.093390681620122</v>
      </c>
      <c r="M18" s="10">
        <f t="shared" si="0"/>
        <v>6.9934795707871471</v>
      </c>
      <c r="N18" s="10">
        <f t="shared" si="3"/>
        <v>-47.672792389930855</v>
      </c>
      <c r="P18" s="11">
        <v>8.9300000000000004E-2</v>
      </c>
    </row>
    <row r="19" spans="1:16" ht="15" x14ac:dyDescent="0.25">
      <c r="A19">
        <v>10</v>
      </c>
      <c r="B19" s="10"/>
      <c r="C19" s="10"/>
      <c r="D19" s="10"/>
      <c r="E19" s="10">
        <f t="shared" si="1"/>
        <v>-14.844462686368614</v>
      </c>
      <c r="F19" s="10"/>
      <c r="G19" s="10"/>
      <c r="H19" s="10">
        <f t="shared" si="4"/>
        <v>3.4232259699059391</v>
      </c>
      <c r="I19" s="10">
        <f t="shared" si="6"/>
        <v>43.538192215558126</v>
      </c>
      <c r="J19" s="10">
        <f t="shared" si="7"/>
        <v>-8.0601290166904924</v>
      </c>
      <c r="K19" s="10">
        <f t="shared" si="5"/>
        <v>31.313811920522742</v>
      </c>
      <c r="L19" s="10">
        <f t="shared" si="2"/>
        <v>19.892575204060066</v>
      </c>
      <c r="M19" s="10">
        <f t="shared" si="0"/>
        <v>5.7452150158615174</v>
      </c>
      <c r="N19" s="10">
        <f t="shared" si="3"/>
        <v>-41.927577374069337</v>
      </c>
      <c r="P19" s="11">
        <v>4.4600000000000001E-2</v>
      </c>
    </row>
    <row r="20" spans="1:16" ht="15" x14ac:dyDescent="0.25">
      <c r="A20">
        <v>11</v>
      </c>
      <c r="B20" s="10"/>
      <c r="C20" s="10"/>
      <c r="D20" s="10"/>
      <c r="E20" s="10">
        <f t="shared" si="1"/>
        <v>-14.844462686368614</v>
      </c>
      <c r="F20" s="10"/>
      <c r="G20" s="10"/>
      <c r="H20" s="10"/>
      <c r="I20" s="10">
        <f t="shared" si="6"/>
        <v>43.538192215558126</v>
      </c>
      <c r="J20" s="10">
        <f t="shared" si="7"/>
        <v>-8.0601290166904924</v>
      </c>
      <c r="K20" s="10">
        <f t="shared" si="5"/>
        <v>33.538908800961607</v>
      </c>
      <c r="L20" s="10">
        <f t="shared" si="2"/>
        <v>18.694446114592992</v>
      </c>
      <c r="M20" s="10">
        <f t="shared" si="0"/>
        <v>4.7032302970782762</v>
      </c>
      <c r="N20" s="10">
        <f t="shared" si="3"/>
        <v>-37.224347076991059</v>
      </c>
    </row>
    <row r="21" spans="1:16" ht="15" x14ac:dyDescent="0.25">
      <c r="A21">
        <v>12</v>
      </c>
      <c r="B21" s="10"/>
      <c r="C21" s="10"/>
      <c r="D21" s="10"/>
      <c r="E21" s="10">
        <f t="shared" si="1"/>
        <v>-14.844462686368614</v>
      </c>
      <c r="F21" s="10"/>
      <c r="G21" s="10"/>
      <c r="H21" s="10"/>
      <c r="I21" s="10">
        <f t="shared" si="6"/>
        <v>43.538192215558126</v>
      </c>
      <c r="J21" s="10">
        <f t="shared" si="7"/>
        <v>-8.0601290166904924</v>
      </c>
      <c r="K21" s="10">
        <f t="shared" si="5"/>
        <v>33.538908800961607</v>
      </c>
      <c r="L21" s="10">
        <f t="shared" si="2"/>
        <v>18.694446114592992</v>
      </c>
      <c r="M21" s="10">
        <f t="shared" si="0"/>
        <v>4.0969872184337133</v>
      </c>
      <c r="N21" s="10">
        <f t="shared" si="3"/>
        <v>-33.127359858557348</v>
      </c>
    </row>
    <row r="22" spans="1:16" ht="15" x14ac:dyDescent="0.25">
      <c r="A22">
        <v>13</v>
      </c>
      <c r="B22" s="10"/>
      <c r="C22" s="10"/>
      <c r="D22" s="10"/>
      <c r="E22" s="10">
        <f t="shared" si="1"/>
        <v>-14.844462686368614</v>
      </c>
      <c r="F22" s="10"/>
      <c r="G22" s="10"/>
      <c r="H22" s="10"/>
      <c r="I22" s="10">
        <f t="shared" si="6"/>
        <v>43.538192215558126</v>
      </c>
      <c r="J22" s="10">
        <f t="shared" si="7"/>
        <v>-8.0601290166904924</v>
      </c>
      <c r="K22" s="10">
        <f t="shared" si="5"/>
        <v>33.538908800961607</v>
      </c>
      <c r="L22" s="10">
        <f t="shared" si="2"/>
        <v>18.694446114592992</v>
      </c>
      <c r="M22" s="10">
        <f t="shared" si="0"/>
        <v>3.5688884464017265</v>
      </c>
      <c r="N22" s="10">
        <f t="shared" si="3"/>
        <v>-29.558471412155622</v>
      </c>
    </row>
    <row r="23" spans="1:16" ht="15.75" thickBot="1" x14ac:dyDescent="0.3">
      <c r="A23">
        <v>14</v>
      </c>
      <c r="B23" s="10"/>
      <c r="C23" s="10"/>
      <c r="D23" s="10"/>
      <c r="E23" s="10">
        <f t="shared" si="1"/>
        <v>-14.844462686368614</v>
      </c>
      <c r="F23" s="10"/>
      <c r="G23" s="10"/>
      <c r="H23" s="10"/>
      <c r="I23" s="10">
        <f t="shared" si="6"/>
        <v>43.538192215558126</v>
      </c>
      <c r="J23" s="10">
        <f t="shared" si="7"/>
        <v>-8.0601290166904924</v>
      </c>
      <c r="K23" s="10">
        <f t="shared" si="5"/>
        <v>33.538908800961607</v>
      </c>
      <c r="L23" s="10">
        <f t="shared" si="2"/>
        <v>18.694446114592992</v>
      </c>
      <c r="M23" s="10">
        <f t="shared" si="0"/>
        <v>3.1088612348000191</v>
      </c>
      <c r="N23" s="10">
        <f t="shared" si="3"/>
        <v>-26.449610177355602</v>
      </c>
    </row>
    <row r="24" spans="1:16" ht="15.75" thickBot="1" x14ac:dyDescent="0.3">
      <c r="A24">
        <v>15</v>
      </c>
      <c r="B24" s="10"/>
      <c r="C24" s="10">
        <f>-WC</f>
        <v>21.773705840110779</v>
      </c>
      <c r="D24" s="10"/>
      <c r="E24" s="10">
        <f t="shared" si="1"/>
        <v>-14.844462686368614</v>
      </c>
      <c r="F24" s="10"/>
      <c r="G24" s="10"/>
      <c r="H24" s="10"/>
      <c r="I24" s="10">
        <f t="shared" si="6"/>
        <v>43.538192215558126</v>
      </c>
      <c r="J24" s="10">
        <f t="shared" si="7"/>
        <v>-8.0601290166904924</v>
      </c>
      <c r="K24" s="10">
        <f t="shared" si="5"/>
        <v>33.538908800961607</v>
      </c>
      <c r="L24" s="10">
        <f>C24+K24+G24+E24</f>
        <v>40.468151954703771</v>
      </c>
      <c r="M24" s="10">
        <f t="shared" si="0"/>
        <v>5.8623328308541485</v>
      </c>
      <c r="N24" s="12">
        <f>N23+M24</f>
        <v>-20.587277346501452</v>
      </c>
    </row>
    <row r="25" spans="1:16" ht="15" x14ac:dyDescent="0.25">
      <c r="C25" s="3"/>
      <c r="D25" s="2"/>
      <c r="E25" s="4"/>
      <c r="F25" s="2"/>
      <c r="G25" s="1"/>
      <c r="H25" s="1"/>
    </row>
    <row r="26" spans="1:16" ht="15" x14ac:dyDescent="0.25">
      <c r="C26" s="3"/>
      <c r="D26" s="2"/>
      <c r="E26" s="4"/>
      <c r="F26" s="2"/>
      <c r="G26" s="1"/>
      <c r="H26" s="1"/>
    </row>
    <row r="27" spans="1:16" ht="15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3</xdr:col>
                    <xdr:colOff>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2"/>
  <sheetViews>
    <sheetView workbookViewId="0">
      <selection sqref="A1:B21"/>
    </sheetView>
  </sheetViews>
  <sheetFormatPr defaultRowHeight="14.4" x14ac:dyDescent="0.3"/>
  <sheetData>
    <row r="1" spans="1:2" x14ac:dyDescent="0.25">
      <c r="A1">
        <v>-59.5</v>
      </c>
      <c r="B1">
        <v>6</v>
      </c>
    </row>
    <row r="2" spans="1:2" x14ac:dyDescent="0.25">
      <c r="A2">
        <v>-52.5</v>
      </c>
      <c r="B2">
        <v>14</v>
      </c>
    </row>
    <row r="3" spans="1:2" x14ac:dyDescent="0.25">
      <c r="A3">
        <v>-45.5</v>
      </c>
      <c r="B3">
        <v>31</v>
      </c>
    </row>
    <row r="4" spans="1:2" x14ac:dyDescent="0.25">
      <c r="A4">
        <v>-38.5</v>
      </c>
      <c r="B4">
        <v>48</v>
      </c>
    </row>
    <row r="5" spans="1:2" x14ac:dyDescent="0.25">
      <c r="A5">
        <v>-31.5</v>
      </c>
      <c r="B5">
        <v>84</v>
      </c>
    </row>
    <row r="6" spans="1:2" x14ac:dyDescent="0.25">
      <c r="A6">
        <v>-24.5</v>
      </c>
      <c r="B6">
        <v>106</v>
      </c>
    </row>
    <row r="7" spans="1:2" x14ac:dyDescent="0.25">
      <c r="A7">
        <v>-17.5</v>
      </c>
      <c r="B7">
        <v>105</v>
      </c>
    </row>
    <row r="8" spans="1:2" x14ac:dyDescent="0.25">
      <c r="A8">
        <v>-10.5</v>
      </c>
      <c r="B8">
        <v>105</v>
      </c>
    </row>
    <row r="9" spans="1:2" x14ac:dyDescent="0.25">
      <c r="A9">
        <v>-3.5</v>
      </c>
      <c r="B9">
        <v>101</v>
      </c>
    </row>
    <row r="10" spans="1:2" x14ac:dyDescent="0.25">
      <c r="A10">
        <v>3.5</v>
      </c>
      <c r="B10">
        <v>90</v>
      </c>
    </row>
    <row r="11" spans="1:2" x14ac:dyDescent="0.25">
      <c r="A11">
        <v>10.5</v>
      </c>
      <c r="B11">
        <v>86</v>
      </c>
    </row>
    <row r="12" spans="1:2" x14ac:dyDescent="0.25">
      <c r="A12">
        <v>17.5</v>
      </c>
      <c r="B12">
        <v>76</v>
      </c>
    </row>
    <row r="13" spans="1:2" x14ac:dyDescent="0.25">
      <c r="A13">
        <v>24.5</v>
      </c>
      <c r="B13">
        <v>60</v>
      </c>
    </row>
    <row r="14" spans="1:2" x14ac:dyDescent="0.25">
      <c r="A14">
        <v>31.5</v>
      </c>
      <c r="B14">
        <v>28</v>
      </c>
    </row>
    <row r="15" spans="1:2" x14ac:dyDescent="0.25">
      <c r="A15">
        <v>38.5</v>
      </c>
      <c r="B15">
        <v>28</v>
      </c>
    </row>
    <row r="16" spans="1:2" x14ac:dyDescent="0.25">
      <c r="A16">
        <v>45.5</v>
      </c>
      <c r="B16">
        <v>17</v>
      </c>
    </row>
    <row r="17" spans="1:2" x14ac:dyDescent="0.25">
      <c r="A17">
        <v>52.5</v>
      </c>
      <c r="B17">
        <v>7</v>
      </c>
    </row>
    <row r="18" spans="1:2" x14ac:dyDescent="0.25">
      <c r="A18">
        <v>59.5</v>
      </c>
      <c r="B18">
        <v>4</v>
      </c>
    </row>
    <row r="19" spans="1:2" x14ac:dyDescent="0.25">
      <c r="A19">
        <v>66.5</v>
      </c>
      <c r="B19">
        <v>1</v>
      </c>
    </row>
    <row r="20" spans="1:2" x14ac:dyDescent="0.25">
      <c r="A20">
        <v>73.5</v>
      </c>
      <c r="B20">
        <v>0</v>
      </c>
    </row>
    <row r="21" spans="1:2" x14ac:dyDescent="0.25">
      <c r="A21">
        <v>80.5</v>
      </c>
      <c r="B21">
        <v>1</v>
      </c>
    </row>
    <row r="22" spans="1:2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jackie chan</cp:lastModifiedBy>
  <dcterms:created xsi:type="dcterms:W3CDTF">2013-10-29T18:00:12Z</dcterms:created>
  <dcterms:modified xsi:type="dcterms:W3CDTF">2024-09-21T18:26:01Z</dcterms:modified>
</cp:coreProperties>
</file>